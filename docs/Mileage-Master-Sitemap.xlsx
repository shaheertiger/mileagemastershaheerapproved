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itemap" sheetId="2" state="visible" r:id="rId4"/>
    <sheet name="Navigation" sheetId="3" state="visible" r:id="rId5"/>
  </sheets>
  <definedNames>
    <definedName function="false" hidden="true" localSheetId="1" name="_xlnm._FilterDatabase" vbProcedure="false">Sitemap!$A$1:$K$31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<sst xmlns="http://schemas.openxmlformats.org/spreadsheetml/2006/main" count="393" uniqueCount="266">
  <si>
    <t xml:space="preserve">Mileage Master — Website Sitemap</t>
  </si>
  <si>
    <t xml:space="preserve">Planned page structure for the marketing site and oil finder</t>
  </si>
  <si>
    <t xml:space="preserve">Brand</t>
  </si>
  <si>
    <t xml:space="preserve">Mileage Master — Advanced full synthetic engine oil</t>
  </si>
  <si>
    <t xml:space="preserve">Company</t>
  </si>
  <si>
    <t xml:space="preserve">Mileage Master Inc. (distributed by OEM Fleets, Mississauga, ON)</t>
  </si>
  <si>
    <t xml:space="preserve">Domain</t>
  </si>
  <si>
    <t xml:space="preserve">https://mileagemaster.ca</t>
  </si>
  <si>
    <t xml:space="preserve">Prepared</t>
  </si>
  <si>
    <t xml:space="preserve">October 15, 2026</t>
  </si>
  <si>
    <t xml:space="preserve">Contact on site</t>
  </si>
  <si>
    <t xml:space="preserve">905.602.6897 · orders@oemfleets.ca · Mon–Fri 8:00–5:00 EST</t>
  </si>
  <si>
    <t xml:space="preserve">AT A GLANCE</t>
  </si>
  <si>
    <t xml:space="preserve">Live pages</t>
  </si>
  <si>
    <t xml:space="preserve">Live page sections</t>
  </si>
  <si>
    <t xml:space="preserve">Proposed pages (to confirm)</t>
  </si>
  <si>
    <t xml:space="preserve">Header menu links</t>
  </si>
  <si>
    <t xml:space="preserve">Footer links</t>
  </si>
  <si>
    <t xml:space="preserve">HOW TO READ THIS WORKBOOK</t>
  </si>
  <si>
    <t xml:space="preserve">Sitemap tab</t>
  </si>
  <si>
    <t xml:space="preserve">Every page and the sections on each page, in the order a visitor sees them. Level 1 = page, Level 2 = section on that page, Level 3 = item inside a section.</t>
  </si>
  <si>
    <t xml:space="preserve">Navigation tab</t>
  </si>
  <si>
    <t xml:space="preserve">What appears in the top bar, header menu, footer and legal strip, and where each link goes.</t>
  </si>
  <si>
    <t xml:space="preserve">Status — Live</t>
  </si>
  <si>
    <t xml:space="preserve">Built and working in the current site.</t>
  </si>
  <si>
    <t xml:space="preserve">Status — Proposed</t>
  </si>
  <si>
    <t xml:space="preserve">Not built yet. Suggested pages for discussion with the coordinator — confirm or remove.</t>
  </si>
  <si>
    <t xml:space="preserve">Full URL column</t>
  </si>
  <si>
    <t xml:space="preserve">Built from the Domain cell above (C7). Change the domain there and every URL updates.</t>
  </si>
  <si>
    <t xml:space="preserve">#anchor links</t>
  </si>
  <si>
    <t xml:space="preserve">Links like /#grades jump to a section on the same page rather than opening a new page.</t>
  </si>
  <si>
    <t xml:space="preserve">SITE TREE</t>
  </si>
  <si>
    <t xml:space="preserve">mileagemaster.ca</t>
  </si>
  <si>
    <t xml:space="preserve">├── Home  /</t>
  </si>
  <si>
    <t xml:space="preserve">│   ├── Hero — Quality you can trust. Value we can deliver.</t>
  </si>
  <si>
    <t xml:space="preserve">│   ├── Find the right oil  (#finder)</t>
  </si>
  <si>
    <t xml:space="preserve">│   ├── Available grades 0W-8 to 5W-40  (#grades)</t>
  </si>
  <si>
    <t xml:space="preserve">│   ├── Made in Europe  (#europe)</t>
  </si>
  <si>
    <t xml:space="preserve">│   ├── Approvals &amp; specifications  (#specs)</t>
  </si>
  <si>
    <t xml:space="preserve">│   ├── What shops say (testimonials)</t>
  </si>
  <si>
    <t xml:space="preserve">│   ├── Become a dealer / wholesale pricing  (#dealers, #quote)</t>
  </si>
  <si>
    <t xml:space="preserve">│   └── Order today contact bar</t>
  </si>
  <si>
    <t xml:space="preserve">├── Oil Finder  /oil-finder/</t>
  </si>
  <si>
    <t xml:space="preserve">│   ├── Find the right motor oil — search form  (#finder)</t>
  </si>
  <si>
    <t xml:space="preserve">│   ├── Product recommendations — results  (#results)</t>
  </si>
  <si>
    <t xml:space="preserve">│   ├── Case pricing  (#pricing)</t>
  </si>
  <si>
    <t xml:space="preserve">│   └── Vehicle not listed?  (#help)</t>
  </si>
  <si>
    <t xml:space="preserve">├── Sitemap  /sitemap/</t>
  </si>
  <si>
    <t xml:space="preserve">└── Proposed: Products · Spec &amp; safety data sheets · Warranty · About · Contact · Privacy · Terms</t>
  </si>
  <si>
    <t xml:space="preserve">ID</t>
  </si>
  <si>
    <t xml:space="preserve">Level</t>
  </si>
  <si>
    <t xml:space="preserve">Page / Section</t>
  </si>
  <si>
    <t xml:space="preserve">Type</t>
  </si>
  <si>
    <t xml:space="preserve">Path</t>
  </si>
  <si>
    <t xml:space="preserve">Full URL</t>
  </si>
  <si>
    <t xml:space="preserve">Purpose &amp; key content</t>
  </si>
  <si>
    <t xml:space="preserve">Main call to action</t>
  </si>
  <si>
    <t xml:space="preserve">Audience</t>
  </si>
  <si>
    <t xml:space="preserve">Status</t>
  </si>
  <si>
    <t xml:space="preserve">Notes</t>
  </si>
  <si>
    <t xml:space="preserve">1</t>
  </si>
  <si>
    <t xml:space="preserve">Home</t>
  </si>
  <si>
    <t xml:space="preserve">Page</t>
  </si>
  <si>
    <t xml:space="preserve">/</t>
  </si>
  <si>
    <t xml:space="preserve">Main landing page. Introduces the brand, lets visitors find their oil, shows grades, quality story and wholesale offer.</t>
  </si>
  <si>
    <t xml:space="preserve">Find my oil · Get wholesale pricing</t>
  </si>
  <si>
    <t xml:space="preserve">Drivers &amp; shops</t>
  </si>
  <si>
    <t xml:space="preserve">Live</t>
  </si>
  <si>
    <t xml:space="preserve">SEO priority 1.0 — updated monthly.</t>
  </si>
  <si>
    <t xml:space="preserve">1.1</t>
  </si>
  <si>
    <t xml:space="preserve">Hero</t>
  </si>
  <si>
    <t xml:space="preserve">Section</t>
  </si>
  <si>
    <t xml:space="preserve">Headline "Quality you can trust. Value we can deliver." European-blended full synthetic, 0W-8 to 5W-40, API SP licensed and warranty approved. Product jug photo.</t>
  </si>
  <si>
    <t xml:space="preserve">FIND MY OIL · GET WHOLESALE PRICING</t>
  </si>
  <si>
    <t xml:space="preserve">Product photo is a mockup — replace with real photography before launch.</t>
  </si>
  <si>
    <t xml:space="preserve">1.2</t>
  </si>
  <si>
    <t xml:space="preserve">Find the right oil</t>
  </si>
  <si>
    <t xml:space="preserve">/#finder</t>
  </si>
  <si>
    <t xml:space="preserve">Quick Year → Make → Model → Engine lookup. Carries the selection over to the full Oil Finder.</t>
  </si>
  <si>
    <t xml:space="preserve">See full results</t>
  </si>
  <si>
    <t xml:space="preserve">1.3</t>
  </si>
  <si>
    <t xml:space="preserve">Available grades</t>
  </si>
  <si>
    <t xml:space="preserve">/#grades</t>
  </si>
  <si>
    <t xml:space="preserve">Tabbed selector for the 7 viscosity grades with description and licences for each.</t>
  </si>
  <si>
    <t xml:space="preserve">Spec sheet · Request pricing</t>
  </si>
  <si>
    <t xml:space="preserve">1.3.1</t>
  </si>
  <si>
    <t xml:space="preserve">Grades: 0W-8 · 0W-16 · 0W-20 · 0W-30 · 5W-20 · 5W-30 · 5W-40</t>
  </si>
  <si>
    <t xml:space="preserve">Item</t>
  </si>
  <si>
    <t xml:space="preserve">One tab per grade. Each grade has a printable spec sheet.</t>
  </si>
  <si>
    <t xml:space="preserve">1.4</t>
  </si>
  <si>
    <t xml:space="preserve">Made in Europe</t>
  </si>
  <si>
    <t xml:space="preserve">/#europe</t>
  </si>
  <si>
    <t xml:space="preserve">Quality story: blended and filled in Europe, shipped from the Mississauga warehouse. Approvals shown as text.</t>
  </si>
  <si>
    <t xml:space="preserve">1.5</t>
  </si>
  <si>
    <t xml:space="preserve">Approvals &amp; specifications</t>
  </si>
  <si>
    <t xml:space="preserve">/#specs</t>
  </si>
  <si>
    <t xml:space="preserve">API SP / ILSAC licences and OEM approvals; access to spec sheets.</t>
  </si>
  <si>
    <t xml:space="preserve">View spec sheet</t>
  </si>
  <si>
    <t xml:space="preserve">Shops</t>
  </si>
  <si>
    <t xml:space="preserve">Spec sheet opens as a printable page (no PDF yet).</t>
  </si>
  <si>
    <t xml:space="preserve">1.6</t>
  </si>
  <si>
    <t xml:space="preserve">What shops say (testimonials)</t>
  </si>
  <si>
    <t xml:space="preserve">Customer quotes from shops.</t>
  </si>
  <si>
    <t xml:space="preserve">Placeholder quotes — replace with real ones or hide the section.</t>
  </si>
  <si>
    <t xml:space="preserve">1.7</t>
  </si>
  <si>
    <t xml:space="preserve">Become a dealer / wholesale pricing</t>
  </si>
  <si>
    <t xml:space="preserve">/#dealers</t>
  </si>
  <si>
    <t xml:space="preserve">"Your customer trusts you. You can trust us." Territory pricing, pallet programs and counter display kits. Includes the quote request form (#quote).</t>
  </si>
  <si>
    <t xml:space="preserve">Request wholesale pricing (form)</t>
  </si>
  <si>
    <t xml:space="preserve">Shops, jobbers, installers</t>
  </si>
  <si>
    <t xml:space="preserve">Form fields: business name, phone, email, details.</t>
  </si>
  <si>
    <t xml:space="preserve">1.8</t>
  </si>
  <si>
    <t xml:space="preserve">Order today contact bar</t>
  </si>
  <si>
    <t xml:space="preserve">Phone and email for ordering.</t>
  </si>
  <si>
    <t xml:space="preserve">Call · Email</t>
  </si>
  <si>
    <t xml:space="preserve">2</t>
  </si>
  <si>
    <t xml:space="preserve">Oil Finder</t>
  </si>
  <si>
    <t xml:space="preserve">/oil-finder/</t>
  </si>
  <si>
    <t xml:space="preserve">Full catalogue lookup returning grade, oil capacity, specification, drain interval and matching Mileage Master products.</t>
  </si>
  <si>
    <t xml:space="preserve">Find my oil</t>
  </si>
  <si>
    <t xml:space="preserve">SEO priority 0.8. Search results can be bookmarked/shared (saved in the URL).</t>
  </si>
  <si>
    <t xml:space="preserve">2.1</t>
  </si>
  <si>
    <t xml:space="preserve">Find the right motor oil (search form)</t>
  </si>
  <si>
    <t xml:space="preserve">/oil-finder/#finder</t>
  </si>
  <si>
    <t xml:space="preserve">Year → Make → Model → Engine selects, plus "over 120,000 km" toggle.</t>
  </si>
  <si>
    <t xml:space="preserve">Search</t>
  </si>
  <si>
    <t xml:space="preserve">Breadcrumb: Home › Find the right motor oil › Product recommendations.</t>
  </si>
  <si>
    <t xml:space="preserve">2.2</t>
  </si>
  <si>
    <t xml:space="preserve">Product recommendations (results)</t>
  </si>
  <si>
    <t xml:space="preserve">/oil-finder/#results</t>
  </si>
  <si>
    <t xml:space="preserve">Vehicle line, grade, capacity, spec and drain interval, then product cards.</t>
  </si>
  <si>
    <t xml:space="preserve">Request pricing · Search again</t>
  </si>
  <si>
    <t xml:space="preserve">Only shown after a search is run.</t>
  </si>
  <si>
    <t xml:space="preserve">2.2.1</t>
  </si>
  <si>
    <t xml:space="preserve">Premium Full Synthetic (PFS)</t>
  </si>
  <si>
    <t xml:space="preserve">Recommended line. 5 L jug, 4 per case.</t>
  </si>
  <si>
    <t xml:space="preserve">2.2.2</t>
  </si>
  <si>
    <t xml:space="preserve">High Mileage Full Synthetic (HM)</t>
  </si>
  <si>
    <t xml:space="preserve">For engines over 120,000 km. 5 L jug, 4 per case.</t>
  </si>
  <si>
    <t xml:space="preserve">2.2.3</t>
  </si>
  <si>
    <t xml:space="preserve">Synthetic Blend (SB)</t>
  </si>
  <si>
    <t xml:space="preserve">Budget line. 4 L jug, 6 per case.</t>
  </si>
  <si>
    <t xml:space="preserve">2.3</t>
  </si>
  <si>
    <t xml:space="preserve">Case pricing</t>
  </si>
  <si>
    <t xml:space="preserve">/oil-finder/#pricing</t>
  </si>
  <si>
    <t xml:space="preserve">Priced by the case; quotes same business day. Quote request form.</t>
  </si>
  <si>
    <t xml:space="preserve">2.4</t>
  </si>
  <si>
    <t xml:space="preserve">Vehicle not listed?</t>
  </si>
  <si>
    <t xml:space="preserve">/oil-finder/#help</t>
  </si>
  <si>
    <t xml:space="preserve">Contact bar for vehicles not in the database.</t>
  </si>
  <si>
    <t xml:space="preserve">Vehicle data is a reference set — replace with a licensed database before launch.</t>
  </si>
  <si>
    <t xml:space="preserve">3</t>
  </si>
  <si>
    <t xml:space="preserve">Sitemap</t>
  </si>
  <si>
    <t xml:space="preserve">/sitemap/</t>
  </si>
  <si>
    <t xml:space="preserve">Human-readable list of every page and section, linked from the footer.</t>
  </si>
  <si>
    <t xml:space="preserve">All visitors</t>
  </si>
  <si>
    <t xml:space="preserve">SEO priority 0.3.</t>
  </si>
  <si>
    <t xml:space="preserve">4</t>
  </si>
  <si>
    <t xml:space="preserve">sitemap.xml / robots.txt</t>
  </si>
  <si>
    <t xml:space="preserve">System</t>
  </si>
  <si>
    <t xml:space="preserve">/sitemap.xml</t>
  </si>
  <si>
    <t xml:space="preserve">Search-engine files generated automatically at build time.</t>
  </si>
  <si>
    <t xml:space="preserve">Search engines</t>
  </si>
  <si>
    <t xml:space="preserve">Not visible to visitors.</t>
  </si>
  <si>
    <t xml:space="preserve">5</t>
  </si>
  <si>
    <t xml:space="preserve">Products</t>
  </si>
  <si>
    <t xml:space="preserve">/products/</t>
  </si>
  <si>
    <t xml:space="preserve">Overview of the 3 product lines and 7 grades, with a page per line.</t>
  </si>
  <si>
    <t xml:space="preserve">Find my oil · Request pricing</t>
  </si>
  <si>
    <t xml:space="preserve">Proposed</t>
  </si>
  <si>
    <t xml:space="preserve">Today this lives as a section on Home (#grades).</t>
  </si>
  <si>
    <t xml:space="preserve">5.1</t>
  </si>
  <si>
    <t xml:space="preserve">Premium Full Synthetic</t>
  </si>
  <si>
    <t xml:space="preserve">/products/premium-full-synthetic/</t>
  </si>
  <si>
    <t xml:space="preserve">Line detail: grades, pack sizes, SKUs, licences.</t>
  </si>
  <si>
    <t xml:space="preserve">Request pricing</t>
  </si>
  <si>
    <t xml:space="preserve">5.2</t>
  </si>
  <si>
    <t xml:space="preserve">High Mileage Full Synthetic</t>
  </si>
  <si>
    <t xml:space="preserve">/products/high-mileage/</t>
  </si>
  <si>
    <t xml:space="preserve">Line detail for engines over 120,000 km.</t>
  </si>
  <si>
    <t xml:space="preserve">5.3</t>
  </si>
  <si>
    <t xml:space="preserve">Synthetic Blend</t>
  </si>
  <si>
    <t xml:space="preserve">/products/synthetic-blend/</t>
  </si>
  <si>
    <t xml:space="preserve">Budget line detail.</t>
  </si>
  <si>
    <t xml:space="preserve">6</t>
  </si>
  <si>
    <t xml:space="preserve">Spec sheets &amp; safety data sheets</t>
  </si>
  <si>
    <t xml:space="preserve">/documents/</t>
  </si>
  <si>
    <t xml:space="preserve">Downloadable technical data sheets and SDS for every grade.</t>
  </si>
  <si>
    <t xml:space="preserve">Download</t>
  </si>
  <si>
    <t xml:space="preserve">Footer already links "Spec sheets" and "Safety data sheets" — currently go to Home #specs.</t>
  </si>
  <si>
    <t xml:space="preserve">7</t>
  </si>
  <si>
    <t xml:space="preserve">Warranty information</t>
  </si>
  <si>
    <t xml:space="preserve">/warranty/</t>
  </si>
  <si>
    <t xml:space="preserve">Warranty approval details and what is covered.</t>
  </si>
  <si>
    <t xml:space="preserve">Contact us</t>
  </si>
  <si>
    <t xml:space="preserve">Footer already links "Warranty information" — currently goes to Home #specs.</t>
  </si>
  <si>
    <t xml:space="preserve">8</t>
  </si>
  <si>
    <t xml:space="preserve">About us</t>
  </si>
  <si>
    <t xml:space="preserve">/about/</t>
  </si>
  <si>
    <t xml:space="preserve">Mileage Master Inc. and OEM Fleets — who we are, Made in Europe, Mississauga warehouse.</t>
  </si>
  <si>
    <t xml:space="preserve">Become a dealer</t>
  </si>
  <si>
    <t xml:space="preserve">9</t>
  </si>
  <si>
    <t xml:space="preserve">Contact</t>
  </si>
  <si>
    <t xml:space="preserve">/contact/</t>
  </si>
  <si>
    <t xml:space="preserve">Phone, email, hours, address, map, contact form.</t>
  </si>
  <si>
    <t xml:space="preserve">Call · Email · Send message</t>
  </si>
  <si>
    <t xml:space="preserve">Contact details currently appear in the top bar, footer and contact bars.</t>
  </si>
  <si>
    <t xml:space="preserve">10</t>
  </si>
  <si>
    <t xml:space="preserve">Privacy policy</t>
  </si>
  <si>
    <t xml:space="preserve">/privacy/</t>
  </si>
  <si>
    <t xml:space="preserve">How form and analytics data is handled.</t>
  </si>
  <si>
    <t xml:space="preserve">Needed once analytics or cookies are added.</t>
  </si>
  <si>
    <t xml:space="preserve">11</t>
  </si>
  <si>
    <t xml:space="preserve">Terms of use</t>
  </si>
  <si>
    <t xml:space="preserve">/terms/</t>
  </si>
  <si>
    <t xml:space="preserve">Website terms.</t>
  </si>
  <si>
    <t xml:space="preserve">Location</t>
  </si>
  <si>
    <t xml:space="preserve">Order</t>
  </si>
  <si>
    <t xml:space="preserve">Label</t>
  </si>
  <si>
    <t xml:space="preserve">Links to</t>
  </si>
  <si>
    <t xml:space="preserve">Destination</t>
  </si>
  <si>
    <t xml:space="preserve">Top utility bar</t>
  </si>
  <si>
    <t xml:space="preserve">ORDER TODAY</t>
  </si>
  <si>
    <t xml:space="preserve">—</t>
  </si>
  <si>
    <t xml:space="preserve">Label only</t>
  </si>
  <si>
    <t xml:space="preserve">905.602.6897</t>
  </si>
  <si>
    <t xml:space="preserve">tel:+19056026897</t>
  </si>
  <si>
    <t xml:space="preserve">Phone call</t>
  </si>
  <si>
    <t xml:space="preserve">orders@oemfleets.ca</t>
  </si>
  <si>
    <t xml:space="preserve">mailto:orders@oemfleets.ca</t>
  </si>
  <si>
    <t xml:space="preserve">Email</t>
  </si>
  <si>
    <t xml:space="preserve">MADE IN EUROPE · SHIPPED FROM MISSISSAUGA, ON</t>
  </si>
  <si>
    <t xml:space="preserve">Header</t>
  </si>
  <si>
    <t xml:space="preserve">Mileage Master logo</t>
  </si>
  <si>
    <t xml:space="preserve">Header menu</t>
  </si>
  <si>
    <t xml:space="preserve">OIL FINDER</t>
  </si>
  <si>
    <t xml:space="preserve">Oil Finder page</t>
  </si>
  <si>
    <t xml:space="preserve">PRODUCTS</t>
  </si>
  <si>
    <t xml:space="preserve">Home › Available grades</t>
  </si>
  <si>
    <t xml:space="preserve">MADE IN EUROPE</t>
  </si>
  <si>
    <t xml:space="preserve">Home › Made in Europe</t>
  </si>
  <si>
    <t xml:space="preserve">APPROVALS</t>
  </si>
  <si>
    <t xml:space="preserve">Home › Approvals &amp; specifications</t>
  </si>
  <si>
    <t xml:space="preserve">BECOME A DEALER</t>
  </si>
  <si>
    <t xml:space="preserve">Home › Become a dealer</t>
  </si>
  <si>
    <t xml:space="preserve">Footer — Products</t>
  </si>
  <si>
    <t xml:space="preserve">Gasoline engine oil</t>
  </si>
  <si>
    <t xml:space="preserve">0W-8 – 5W-40</t>
  </si>
  <si>
    <t xml:space="preserve">Spec sheets</t>
  </si>
  <si>
    <t xml:space="preserve">Home › Approvals (proposed: /documents/)</t>
  </si>
  <si>
    <t xml:space="preserve">Safety data sheets</t>
  </si>
  <si>
    <t xml:space="preserve">Footer — For shops</t>
  </si>
  <si>
    <t xml:space="preserve">Wholesale pricing</t>
  </si>
  <si>
    <t xml:space="preserve">/#quote</t>
  </si>
  <si>
    <t xml:space="preserve">Home › Quote form</t>
  </si>
  <si>
    <t xml:space="preserve">Oil finder</t>
  </si>
  <si>
    <t xml:space="preserve">Home › Approvals (proposed: /warranty/)</t>
  </si>
  <si>
    <t xml:space="preserve">Footer — Contact</t>
  </si>
  <si>
    <t xml:space="preserve">Phone, email, hours, address</t>
  </si>
  <si>
    <t xml:space="preserve">tel: / mailto:</t>
  </si>
  <si>
    <t xml:space="preserve">Footer — Bottom</t>
  </si>
  <si>
    <t xml:space="preserve">Sitemap page</t>
  </si>
  <si>
    <t xml:space="preserve">Legal strip</t>
  </si>
  <si>
    <t xml:space="preserve">© 2026 Mileage Master Inc. · Made in Europe · API SP licensed</t>
  </si>
  <si>
    <t xml:space="preserve">Note</t>
  </si>
  <si>
    <t xml:space="preserve">On phones/tablets (below 960px) the header menu collapses into a menu button.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</si>
</sst>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8102E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sz val="10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CE8EB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4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A1A1A"/>
          <bgColor rgb="FF000000"/>
        </patternFill>
      </fill>
    </dxf>
    <dxf>
      <fill>
        <patternFill patternType="solid">
          <fgColor rgb="FFFCE8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D9F2DD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E6B2E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ont>
        <name val="Arial"/>
        <charset val="1"/>
        <family val="0"/>
        <b val="1"/>
        <color rgb="FF1E6B2E"/>
      </font>
      <fill>
        <patternFill>
          <bgColor rgb="FFD9F2DD"/>
        </patternFill>
      </fill>
    </dxf>
    <dxf>
      <font>
        <name val="Arial"/>
        <charset val="1"/>
        <family val="0"/>
        <b val="1"/>
        <color rgb="FF8A6100"/>
      </font>
      <fill>
        <patternFill>
          <bgColor rgb="FFFFF4CC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A6100"/>
      <rgbColor rgb="FF800080"/>
      <rgbColor rgb="FF008080"/>
      <rgbColor rgb="FFC0C0C0"/>
      <rgbColor rgb="FF808080"/>
      <rgbColor rgb="FF9999FF"/>
      <rgbColor rgb="FF993366"/>
      <rgbColor rgb="FFFFF4CC"/>
      <rgbColor rgb="FFFCE8E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5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6" t="s">
        <v>12</v>
      </c>
    </row>
    <row r="12" customFormat="false" ht="15" hidden="false" customHeight="false" outlineLevel="0" collapsed="false">
      <c r="B12" s="4" t="s">
        <v>13</v>
      </c>
      <c r="C12" s="7" t="n">
        <f aca="false">COUNTIFS(Sitemap!$D:$D,"Page",Sitemap!$J:$J,"Live")</f>
        <v>3</v>
      </c>
    </row>
    <row r="13" customFormat="false" ht="15" hidden="false" customHeight="false" outlineLevel="0" collapsed="false">
      <c r="B13" s="4" t="s">
        <v>14</v>
      </c>
      <c r="C13" s="7" t="n">
        <f aca="false">COUNTIFS(Sitemap!$D:$D,"Section",Sitemap!$J:$J,"Live")</f>
        <v>12</v>
      </c>
    </row>
    <row r="14" customFormat="false" ht="15" hidden="false" customHeight="false" outlineLevel="0" collapsed="false">
      <c r="B14" s="4" t="s">
        <v>15</v>
      </c>
      <c r="C14" s="7" t="n">
        <f aca="false">COUNTIFS(Sitemap!$D:$D,"Page",Sitemap!$J:$J,"Proposed")</f>
        <v>10</v>
      </c>
    </row>
    <row r="15" customFormat="false" ht="15" hidden="false" customHeight="false" outlineLevel="0" collapsed="false">
      <c r="B15" s="4" t="s">
        <v>16</v>
      </c>
      <c r="C15" s="7" t="n">
        <f aca="false">COUNTIF(Navigation!$A:$A,"Header menu")</f>
        <v>5</v>
      </c>
    </row>
    <row r="16" customFormat="false" ht="15" hidden="false" customHeight="false" outlineLevel="0" collapsed="false">
      <c r="B16" s="4" t="s">
        <v>17</v>
      </c>
      <c r="C16" s="7" t="n">
        <f aca="false">COUNTIF(Navigation!$A:$A,"Footer*")</f>
        <v>10</v>
      </c>
    </row>
    <row r="18" customFormat="false" ht="15" hidden="false" customHeight="false" outlineLevel="0" collapsed="false">
      <c r="B18" s="6" t="s">
        <v>18</v>
      </c>
    </row>
    <row r="19" customFormat="false" ht="23.85" hidden="false" customHeight="false" outlineLevel="0" collapsed="false">
      <c r="B19" s="8" t="s">
        <v>19</v>
      </c>
      <c r="C19" s="9" t="s">
        <v>20</v>
      </c>
    </row>
    <row r="20" customFormat="false" ht="23.85" hidden="false" customHeight="false" outlineLevel="0" collapsed="false">
      <c r="B20" s="8" t="s">
        <v>21</v>
      </c>
      <c r="C20" s="9" t="s">
        <v>22</v>
      </c>
    </row>
    <row r="21" customFormat="false" ht="15" hidden="false" customHeight="false" outlineLevel="0" collapsed="false">
      <c r="B21" s="8" t="s">
        <v>23</v>
      </c>
      <c r="C21" s="9" t="s">
        <v>24</v>
      </c>
    </row>
    <row r="22" customFormat="false" ht="23.85" hidden="false" customHeight="false" outlineLevel="0" collapsed="false">
      <c r="B22" s="8" t="s">
        <v>25</v>
      </c>
      <c r="C22" s="9" t="s">
        <v>26</v>
      </c>
    </row>
    <row r="23" customFormat="false" ht="23.85" hidden="false" customHeight="false" outlineLevel="0" collapsed="false">
      <c r="B23" s="8" t="s">
        <v>27</v>
      </c>
      <c r="C23" s="9" t="s">
        <v>28</v>
      </c>
    </row>
    <row r="24" customFormat="false" ht="23.85" hidden="false" customHeight="false" outlineLevel="0" collapsed="false">
      <c r="B24" s="8" t="s">
        <v>29</v>
      </c>
      <c r="C24" s="9" t="s">
        <v>30</v>
      </c>
    </row>
    <row r="26" customFormat="false" ht="15" hidden="false" customHeight="false" outlineLevel="0" collapsed="false">
      <c r="B26" s="6" t="s">
        <v>31</v>
      </c>
    </row>
    <row r="27" customFormat="false" ht="15" hidden="false" customHeight="false" outlineLevel="0" collapsed="false">
      <c r="B27" s="10" t="s">
        <v>32</v>
      </c>
    </row>
    <row r="28" customFormat="false" ht="15" hidden="false" customHeight="false" outlineLevel="0" collapsed="false">
      <c r="B28" s="10" t="s">
        <v>33</v>
      </c>
    </row>
    <row r="29" customFormat="false" ht="15" hidden="false" customHeight="false" outlineLevel="0" collapsed="false">
      <c r="B29" s="10" t="s">
        <v>34</v>
      </c>
    </row>
    <row r="30" customFormat="false" ht="15" hidden="false" customHeight="false" outlineLevel="0" collapsed="false">
      <c r="B30" s="10" t="s">
        <v>35</v>
      </c>
    </row>
    <row r="31" customFormat="false" ht="15" hidden="false" customHeight="false" outlineLevel="0" collapsed="false">
      <c r="B31" s="10" t="s">
        <v>36</v>
      </c>
    </row>
    <row r="32" customFormat="false" ht="15" hidden="false" customHeight="false" outlineLevel="0" collapsed="false">
      <c r="B32" s="10" t="s">
        <v>37</v>
      </c>
    </row>
    <row r="33" customFormat="false" ht="15" hidden="false" customHeight="false" outlineLevel="0" collapsed="false">
      <c r="B33" s="10" t="s">
        <v>38</v>
      </c>
    </row>
    <row r="34" customFormat="false" ht="15" hidden="false" customHeight="false" outlineLevel="0" collapsed="false">
      <c r="B34" s="10" t="s">
        <v>39</v>
      </c>
    </row>
    <row r="35" customFormat="false" ht="15" hidden="false" customHeight="false" outlineLevel="0" collapsed="false">
      <c r="B35" s="10" t="s">
        <v>40</v>
      </c>
    </row>
    <row r="36" customFormat="false" ht="15" hidden="false" customHeight="false" outlineLevel="0" collapsed="false">
      <c r="B36" s="10" t="s">
        <v>41</v>
      </c>
    </row>
    <row r="37" customFormat="false" ht="15" hidden="false" customHeight="false" outlineLevel="0" collapsed="false">
      <c r="B37" s="10" t="s">
        <v>42</v>
      </c>
    </row>
    <row r="38" customFormat="false" ht="15" hidden="false" customHeight="false" outlineLevel="0" collapsed="false">
      <c r="B38" s="10" t="s">
        <v>43</v>
      </c>
    </row>
    <row r="39" customFormat="false" ht="15" hidden="false" customHeight="false" outlineLevel="0" collapsed="false">
      <c r="B39" s="10" t="s">
        <v>44</v>
      </c>
    </row>
    <row r="40" customFormat="false" ht="15" hidden="false" customHeight="false" outlineLevel="0" collapsed="false">
      <c r="B40" s="10" t="s">
        <v>45</v>
      </c>
    </row>
    <row r="41" customFormat="false" ht="15" hidden="false" customHeight="false" outlineLevel="0" collapsed="false">
      <c r="B41" s="10" t="s">
        <v>46</v>
      </c>
    </row>
    <row r="42" customFormat="false" ht="15" hidden="false" customHeight="false" outlineLevel="0" collapsed="false">
      <c r="B42" s="10" t="s">
        <v>47</v>
      </c>
    </row>
    <row r="43" customFormat="false" ht="15" hidden="false" customHeight="false" outlineLevel="0" collapsed="false">
      <c r="B43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2" min="1" style="0" width="7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60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45"/>
  </cols>
  <sheetData>
    <row r="1" customFormat="false" ht="21.75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</row>
    <row r="2" customFormat="false" ht="23.85" hidden="false" customHeight="false" outlineLevel="0" collapsed="false">
      <c r="A2" s="12" t="s">
        <v>60</v>
      </c>
      <c r="B2" s="13" t="n">
        <v>1</v>
      </c>
      <c r="C2" s="14" t="s">
        <v>61</v>
      </c>
      <c r="D2" s="12" t="s">
        <v>62</v>
      </c>
      <c r="E2" s="12" t="s">
        <v>63</v>
      </c>
      <c r="F2" s="15" t="str">
        <f aca="false">Overview!$C$7&amp;E2</f>
        <v>https://mileagemaster.ca/</v>
      </c>
      <c r="G2" s="12" t="s">
        <v>64</v>
      </c>
      <c r="H2" s="12" t="s">
        <v>65</v>
      </c>
      <c r="I2" s="12" t="s">
        <v>66</v>
      </c>
      <c r="J2" s="12" t="s">
        <v>67</v>
      </c>
      <c r="K2" s="12" t="s">
        <v>68</v>
      </c>
    </row>
    <row r="3" customFormat="false" ht="35.05" hidden="false" customHeight="false" outlineLevel="1" collapsed="false">
      <c r="A3" s="16" t="s">
        <v>69</v>
      </c>
      <c r="B3" s="17" t="n">
        <v>2</v>
      </c>
      <c r="C3" s="18" t="s">
        <v>70</v>
      </c>
      <c r="D3" s="16" t="s">
        <v>71</v>
      </c>
      <c r="E3" s="16" t="s">
        <v>63</v>
      </c>
      <c r="F3" s="19" t="str">
        <f aca="false">Overview!$C$7&amp;E3</f>
        <v>https://mileagemaster.ca/</v>
      </c>
      <c r="G3" s="16" t="s">
        <v>72</v>
      </c>
      <c r="H3" s="16" t="s">
        <v>73</v>
      </c>
      <c r="I3" s="16" t="s">
        <v>66</v>
      </c>
      <c r="J3" s="16" t="s">
        <v>67</v>
      </c>
      <c r="K3" s="16" t="s">
        <v>74</v>
      </c>
    </row>
    <row r="4" customFormat="false" ht="23.85" hidden="false" customHeight="false" outlineLevel="1" collapsed="false">
      <c r="A4" s="16" t="s">
        <v>75</v>
      </c>
      <c r="B4" s="17" t="n">
        <v>2</v>
      </c>
      <c r="C4" s="18" t="s">
        <v>76</v>
      </c>
      <c r="D4" s="16" t="s">
        <v>71</v>
      </c>
      <c r="E4" s="16" t="s">
        <v>77</v>
      </c>
      <c r="F4" s="19" t="str">
        <f aca="false">Overview!$C$7&amp;E4</f>
        <v>https://mileagemaster.ca/#finder</v>
      </c>
      <c r="G4" s="16" t="s">
        <v>78</v>
      </c>
      <c r="H4" s="16" t="s">
        <v>79</v>
      </c>
      <c r="I4" s="16" t="s">
        <v>66</v>
      </c>
      <c r="J4" s="16" t="s">
        <v>67</v>
      </c>
      <c r="K4" s="16"/>
    </row>
    <row r="5" customFormat="false" ht="23.85" hidden="false" customHeight="false" outlineLevel="1" collapsed="false">
      <c r="A5" s="16" t="s">
        <v>80</v>
      </c>
      <c r="B5" s="17" t="n">
        <v>2</v>
      </c>
      <c r="C5" s="18" t="s">
        <v>81</v>
      </c>
      <c r="D5" s="16" t="s">
        <v>71</v>
      </c>
      <c r="E5" s="16" t="s">
        <v>82</v>
      </c>
      <c r="F5" s="19" t="str">
        <f aca="false">Overview!$C$7&amp;E5</f>
        <v>https://mileagemaster.ca/#grades</v>
      </c>
      <c r="G5" s="16" t="s">
        <v>83</v>
      </c>
      <c r="H5" s="16" t="s">
        <v>84</v>
      </c>
      <c r="I5" s="16" t="s">
        <v>66</v>
      </c>
      <c r="J5" s="16" t="s">
        <v>67</v>
      </c>
      <c r="K5" s="16"/>
    </row>
    <row r="6" customFormat="false" ht="23.85" hidden="false" customHeight="false" outlineLevel="2" collapsed="false">
      <c r="A6" s="16" t="s">
        <v>85</v>
      </c>
      <c r="B6" s="17" t="n">
        <v>3</v>
      </c>
      <c r="C6" s="20" t="s">
        <v>86</v>
      </c>
      <c r="D6" s="16" t="s">
        <v>87</v>
      </c>
      <c r="E6" s="16" t="s">
        <v>82</v>
      </c>
      <c r="F6" s="19" t="str">
        <f aca="false">Overview!$C$7&amp;E6</f>
        <v>https://mileagemaster.ca/#grades</v>
      </c>
      <c r="G6" s="16" t="s">
        <v>88</v>
      </c>
      <c r="H6" s="16"/>
      <c r="I6" s="16"/>
      <c r="J6" s="16" t="s">
        <v>67</v>
      </c>
      <c r="K6" s="16"/>
    </row>
    <row r="7" customFormat="false" ht="23.85" hidden="false" customHeight="false" outlineLevel="1" collapsed="false">
      <c r="A7" s="16" t="s">
        <v>89</v>
      </c>
      <c r="B7" s="17" t="n">
        <v>2</v>
      </c>
      <c r="C7" s="18" t="s">
        <v>90</v>
      </c>
      <c r="D7" s="16" t="s">
        <v>71</v>
      </c>
      <c r="E7" s="16" t="s">
        <v>91</v>
      </c>
      <c r="F7" s="19" t="str">
        <f aca="false">Overview!$C$7&amp;E7</f>
        <v>https://mileagemaster.ca/#europe</v>
      </c>
      <c r="G7" s="16" t="s">
        <v>92</v>
      </c>
      <c r="H7" s="16"/>
      <c r="I7" s="16" t="s">
        <v>66</v>
      </c>
      <c r="J7" s="16" t="s">
        <v>67</v>
      </c>
      <c r="K7" s="16"/>
    </row>
    <row r="8" customFormat="false" ht="15" hidden="false" customHeight="false" outlineLevel="1" collapsed="false">
      <c r="A8" s="16" t="s">
        <v>93</v>
      </c>
      <c r="B8" s="17" t="n">
        <v>2</v>
      </c>
      <c r="C8" s="18" t="s">
        <v>94</v>
      </c>
      <c r="D8" s="16" t="s">
        <v>71</v>
      </c>
      <c r="E8" s="16" t="s">
        <v>95</v>
      </c>
      <c r="F8" s="19" t="str">
        <f aca="false">Overview!$C$7&amp;E8</f>
        <v>https://mileagemaster.ca/#specs</v>
      </c>
      <c r="G8" s="16" t="s">
        <v>96</v>
      </c>
      <c r="H8" s="16" t="s">
        <v>97</v>
      </c>
      <c r="I8" s="16" t="s">
        <v>98</v>
      </c>
      <c r="J8" s="16" t="s">
        <v>67</v>
      </c>
      <c r="K8" s="16" t="s">
        <v>99</v>
      </c>
    </row>
    <row r="9" customFormat="false" ht="23.85" hidden="false" customHeight="false" outlineLevel="1" collapsed="false">
      <c r="A9" s="16" t="s">
        <v>100</v>
      </c>
      <c r="B9" s="17" t="n">
        <v>2</v>
      </c>
      <c r="C9" s="18" t="s">
        <v>101</v>
      </c>
      <c r="D9" s="16" t="s">
        <v>71</v>
      </c>
      <c r="E9" s="16" t="s">
        <v>63</v>
      </c>
      <c r="F9" s="19" t="str">
        <f aca="false">Overview!$C$7&amp;E9</f>
        <v>https://mileagemaster.ca/</v>
      </c>
      <c r="G9" s="16" t="s">
        <v>102</v>
      </c>
      <c r="H9" s="16"/>
      <c r="I9" s="16" t="s">
        <v>98</v>
      </c>
      <c r="J9" s="16" t="s">
        <v>67</v>
      </c>
      <c r="K9" s="16" t="s">
        <v>103</v>
      </c>
    </row>
    <row r="10" customFormat="false" ht="35.05" hidden="false" customHeight="false" outlineLevel="1" collapsed="false">
      <c r="A10" s="16" t="s">
        <v>104</v>
      </c>
      <c r="B10" s="17" t="n">
        <v>2</v>
      </c>
      <c r="C10" s="18" t="s">
        <v>105</v>
      </c>
      <c r="D10" s="16" t="s">
        <v>71</v>
      </c>
      <c r="E10" s="16" t="s">
        <v>106</v>
      </c>
      <c r="F10" s="19" t="str">
        <f aca="false">Overview!$C$7&amp;E10</f>
        <v>https://mileagemaster.ca/#dealers</v>
      </c>
      <c r="G10" s="16" t="s">
        <v>107</v>
      </c>
      <c r="H10" s="16" t="s">
        <v>108</v>
      </c>
      <c r="I10" s="16" t="s">
        <v>109</v>
      </c>
      <c r="J10" s="16" t="s">
        <v>67</v>
      </c>
      <c r="K10" s="16" t="s">
        <v>110</v>
      </c>
    </row>
    <row r="11" customFormat="false" ht="15" hidden="false" customHeight="false" outlineLevel="1" collapsed="false">
      <c r="A11" s="16" t="s">
        <v>111</v>
      </c>
      <c r="B11" s="17" t="n">
        <v>2</v>
      </c>
      <c r="C11" s="18" t="s">
        <v>112</v>
      </c>
      <c r="D11" s="16" t="s">
        <v>71</v>
      </c>
      <c r="E11" s="16" t="s">
        <v>63</v>
      </c>
      <c r="F11" s="19" t="str">
        <f aca="false">Overview!$C$7&amp;E11</f>
        <v>https://mileagemaster.ca/</v>
      </c>
      <c r="G11" s="16" t="s">
        <v>113</v>
      </c>
      <c r="H11" s="16" t="s">
        <v>114</v>
      </c>
      <c r="I11" s="16" t="s">
        <v>98</v>
      </c>
      <c r="J11" s="16" t="s">
        <v>67</v>
      </c>
      <c r="K11" s="16"/>
    </row>
    <row r="12" customFormat="false" ht="23.85" hidden="false" customHeight="false" outlineLevel="0" collapsed="false">
      <c r="A12" s="12" t="s">
        <v>115</v>
      </c>
      <c r="B12" s="13" t="n">
        <v>1</v>
      </c>
      <c r="C12" s="14" t="s">
        <v>116</v>
      </c>
      <c r="D12" s="12" t="s">
        <v>62</v>
      </c>
      <c r="E12" s="12" t="s">
        <v>117</v>
      </c>
      <c r="F12" s="15" t="str">
        <f aca="false">Overview!$C$7&amp;E12</f>
        <v>https://mileagemaster.ca/oil-finder/</v>
      </c>
      <c r="G12" s="12" t="s">
        <v>118</v>
      </c>
      <c r="H12" s="12" t="s">
        <v>119</v>
      </c>
      <c r="I12" s="12" t="s">
        <v>66</v>
      </c>
      <c r="J12" s="12" t="s">
        <v>67</v>
      </c>
      <c r="K12" s="12" t="s">
        <v>120</v>
      </c>
    </row>
    <row r="13" customFormat="false" ht="23.85" hidden="false" customHeight="false" outlineLevel="1" collapsed="false">
      <c r="A13" s="16" t="s">
        <v>121</v>
      </c>
      <c r="B13" s="17" t="n">
        <v>2</v>
      </c>
      <c r="C13" s="18" t="s">
        <v>122</v>
      </c>
      <c r="D13" s="16" t="s">
        <v>71</v>
      </c>
      <c r="E13" s="16" t="s">
        <v>123</v>
      </c>
      <c r="F13" s="19" t="str">
        <f aca="false">Overview!$C$7&amp;E13</f>
        <v>https://mileagemaster.ca/oil-finder/#finder</v>
      </c>
      <c r="G13" s="16" t="s">
        <v>124</v>
      </c>
      <c r="H13" s="16" t="s">
        <v>125</v>
      </c>
      <c r="I13" s="16" t="s">
        <v>66</v>
      </c>
      <c r="J13" s="16" t="s">
        <v>67</v>
      </c>
      <c r="K13" s="16" t="s">
        <v>126</v>
      </c>
    </row>
    <row r="14" customFormat="false" ht="15" hidden="false" customHeight="false" outlineLevel="1" collapsed="false">
      <c r="A14" s="16" t="s">
        <v>127</v>
      </c>
      <c r="B14" s="17" t="n">
        <v>2</v>
      </c>
      <c r="C14" s="18" t="s">
        <v>128</v>
      </c>
      <c r="D14" s="16" t="s">
        <v>71</v>
      </c>
      <c r="E14" s="16" t="s">
        <v>129</v>
      </c>
      <c r="F14" s="19" t="str">
        <f aca="false">Overview!$C$7&amp;E14</f>
        <v>https://mileagemaster.ca/oil-finder/#results</v>
      </c>
      <c r="G14" s="16" t="s">
        <v>130</v>
      </c>
      <c r="H14" s="16" t="s">
        <v>131</v>
      </c>
      <c r="I14" s="16" t="s">
        <v>66</v>
      </c>
      <c r="J14" s="16" t="s">
        <v>67</v>
      </c>
      <c r="K14" s="16" t="s">
        <v>132</v>
      </c>
    </row>
    <row r="15" customFormat="false" ht="15" hidden="false" customHeight="false" outlineLevel="2" collapsed="false">
      <c r="A15" s="16" t="s">
        <v>133</v>
      </c>
      <c r="B15" s="17" t="n">
        <v>3</v>
      </c>
      <c r="C15" s="20" t="s">
        <v>134</v>
      </c>
      <c r="D15" s="16" t="s">
        <v>87</v>
      </c>
      <c r="E15" s="16" t="s">
        <v>129</v>
      </c>
      <c r="F15" s="19" t="str">
        <f aca="false">Overview!$C$7&amp;E15</f>
        <v>https://mileagemaster.ca/oil-finder/#results</v>
      </c>
      <c r="G15" s="16" t="s">
        <v>135</v>
      </c>
      <c r="H15" s="16"/>
      <c r="I15" s="16"/>
      <c r="J15" s="16" t="s">
        <v>67</v>
      </c>
      <c r="K15" s="16"/>
    </row>
    <row r="16" customFormat="false" ht="15" hidden="false" customHeight="false" outlineLevel="2" collapsed="false">
      <c r="A16" s="16" t="s">
        <v>136</v>
      </c>
      <c r="B16" s="17" t="n">
        <v>3</v>
      </c>
      <c r="C16" s="20" t="s">
        <v>137</v>
      </c>
      <c r="D16" s="16" t="s">
        <v>87</v>
      </c>
      <c r="E16" s="16" t="s">
        <v>129</v>
      </c>
      <c r="F16" s="19" t="str">
        <f aca="false">Overview!$C$7&amp;E16</f>
        <v>https://mileagemaster.ca/oil-finder/#results</v>
      </c>
      <c r="G16" s="16" t="s">
        <v>138</v>
      </c>
      <c r="H16" s="16"/>
      <c r="I16" s="16"/>
      <c r="J16" s="16" t="s">
        <v>67</v>
      </c>
      <c r="K16" s="16"/>
    </row>
    <row r="17" customFormat="false" ht="15" hidden="false" customHeight="false" outlineLevel="2" collapsed="false">
      <c r="A17" s="16" t="s">
        <v>139</v>
      </c>
      <c r="B17" s="17" t="n">
        <v>3</v>
      </c>
      <c r="C17" s="20" t="s">
        <v>140</v>
      </c>
      <c r="D17" s="16" t="s">
        <v>87</v>
      </c>
      <c r="E17" s="16" t="s">
        <v>129</v>
      </c>
      <c r="F17" s="19" t="str">
        <f aca="false">Overview!$C$7&amp;E17</f>
        <v>https://mileagemaster.ca/oil-finder/#results</v>
      </c>
      <c r="G17" s="16" t="s">
        <v>141</v>
      </c>
      <c r="H17" s="16"/>
      <c r="I17" s="16"/>
      <c r="J17" s="16" t="s">
        <v>67</v>
      </c>
      <c r="K17" s="16"/>
    </row>
    <row r="18" customFormat="false" ht="15" hidden="false" customHeight="false" outlineLevel="1" collapsed="false">
      <c r="A18" s="16" t="s">
        <v>142</v>
      </c>
      <c r="B18" s="17" t="n">
        <v>2</v>
      </c>
      <c r="C18" s="18" t="s">
        <v>143</v>
      </c>
      <c r="D18" s="16" t="s">
        <v>71</v>
      </c>
      <c r="E18" s="16" t="s">
        <v>144</v>
      </c>
      <c r="F18" s="19" t="str">
        <f aca="false">Overview!$C$7&amp;E18</f>
        <v>https://mileagemaster.ca/oil-finder/#pricing</v>
      </c>
      <c r="G18" s="16" t="s">
        <v>145</v>
      </c>
      <c r="H18" s="16" t="s">
        <v>108</v>
      </c>
      <c r="I18" s="16" t="s">
        <v>98</v>
      </c>
      <c r="J18" s="16" t="s">
        <v>67</v>
      </c>
      <c r="K18" s="16"/>
    </row>
    <row r="19" customFormat="false" ht="23.85" hidden="false" customHeight="false" outlineLevel="1" collapsed="false">
      <c r="A19" s="16" t="s">
        <v>146</v>
      </c>
      <c r="B19" s="17" t="n">
        <v>2</v>
      </c>
      <c r="C19" s="18" t="s">
        <v>147</v>
      </c>
      <c r="D19" s="16" t="s">
        <v>71</v>
      </c>
      <c r="E19" s="16" t="s">
        <v>148</v>
      </c>
      <c r="F19" s="19" t="str">
        <f aca="false">Overview!$C$7&amp;E19</f>
        <v>https://mileagemaster.ca/oil-finder/#help</v>
      </c>
      <c r="G19" s="16" t="s">
        <v>149</v>
      </c>
      <c r="H19" s="16" t="s">
        <v>114</v>
      </c>
      <c r="I19" s="16" t="s">
        <v>66</v>
      </c>
      <c r="J19" s="16" t="s">
        <v>67</v>
      </c>
      <c r="K19" s="16" t="s">
        <v>150</v>
      </c>
    </row>
    <row r="20" customFormat="false" ht="15" hidden="false" customHeight="false" outlineLevel="0" collapsed="false">
      <c r="A20" s="12" t="s">
        <v>151</v>
      </c>
      <c r="B20" s="13" t="n">
        <v>1</v>
      </c>
      <c r="C20" s="14" t="s">
        <v>152</v>
      </c>
      <c r="D20" s="12" t="s">
        <v>62</v>
      </c>
      <c r="E20" s="12" t="s">
        <v>153</v>
      </c>
      <c r="F20" s="15" t="str">
        <f aca="false">Overview!$C$7&amp;E20</f>
        <v>https://mileagemaster.ca/sitemap/</v>
      </c>
      <c r="G20" s="12" t="s">
        <v>154</v>
      </c>
      <c r="H20" s="12"/>
      <c r="I20" s="12" t="s">
        <v>155</v>
      </c>
      <c r="J20" s="12" t="s">
        <v>67</v>
      </c>
      <c r="K20" s="12" t="s">
        <v>156</v>
      </c>
    </row>
    <row r="21" customFormat="false" ht="15" hidden="false" customHeight="false" outlineLevel="0" collapsed="false">
      <c r="A21" s="12" t="s">
        <v>157</v>
      </c>
      <c r="B21" s="13" t="n">
        <v>1</v>
      </c>
      <c r="C21" s="14" t="s">
        <v>158</v>
      </c>
      <c r="D21" s="12" t="s">
        <v>159</v>
      </c>
      <c r="E21" s="12" t="s">
        <v>160</v>
      </c>
      <c r="F21" s="15" t="str">
        <f aca="false">Overview!$C$7&amp;E21</f>
        <v>https://mileagemaster.ca/sitemap.xml</v>
      </c>
      <c r="G21" s="12" t="s">
        <v>161</v>
      </c>
      <c r="H21" s="12"/>
      <c r="I21" s="12" t="s">
        <v>162</v>
      </c>
      <c r="J21" s="12" t="s">
        <v>67</v>
      </c>
      <c r="K21" s="12" t="s">
        <v>163</v>
      </c>
    </row>
    <row r="22" customFormat="false" ht="15" hidden="false" customHeight="false" outlineLevel="0" collapsed="false">
      <c r="A22" s="12" t="s">
        <v>164</v>
      </c>
      <c r="B22" s="13" t="n">
        <v>1</v>
      </c>
      <c r="C22" s="14" t="s">
        <v>165</v>
      </c>
      <c r="D22" s="12" t="s">
        <v>62</v>
      </c>
      <c r="E22" s="12" t="s">
        <v>166</v>
      </c>
      <c r="F22" s="15" t="str">
        <f aca="false">Overview!$C$7&amp;E22</f>
        <v>https://mileagemaster.ca/products/</v>
      </c>
      <c r="G22" s="12" t="s">
        <v>167</v>
      </c>
      <c r="H22" s="12" t="s">
        <v>168</v>
      </c>
      <c r="I22" s="12" t="s">
        <v>66</v>
      </c>
      <c r="J22" s="12" t="s">
        <v>169</v>
      </c>
      <c r="K22" s="12" t="s">
        <v>170</v>
      </c>
    </row>
    <row r="23" customFormat="false" ht="23.85" hidden="false" customHeight="false" outlineLevel="1" collapsed="false">
      <c r="A23" s="16" t="s">
        <v>171</v>
      </c>
      <c r="B23" s="17" t="n">
        <v>2</v>
      </c>
      <c r="C23" s="18" t="s">
        <v>172</v>
      </c>
      <c r="D23" s="16" t="s">
        <v>62</v>
      </c>
      <c r="E23" s="16" t="s">
        <v>173</v>
      </c>
      <c r="F23" s="19" t="str">
        <f aca="false">Overview!$C$7&amp;E23</f>
        <v>https://mileagemaster.ca/products/premium-full-synthetic/</v>
      </c>
      <c r="G23" s="16" t="s">
        <v>174</v>
      </c>
      <c r="H23" s="16" t="s">
        <v>175</v>
      </c>
      <c r="I23" s="16" t="s">
        <v>66</v>
      </c>
      <c r="J23" s="16" t="s">
        <v>169</v>
      </c>
      <c r="K23" s="16"/>
    </row>
    <row r="24" customFormat="false" ht="15" hidden="false" customHeight="false" outlineLevel="1" collapsed="false">
      <c r="A24" s="16" t="s">
        <v>176</v>
      </c>
      <c r="B24" s="17" t="n">
        <v>2</v>
      </c>
      <c r="C24" s="18" t="s">
        <v>177</v>
      </c>
      <c r="D24" s="16" t="s">
        <v>62</v>
      </c>
      <c r="E24" s="16" t="s">
        <v>178</v>
      </c>
      <c r="F24" s="19" t="str">
        <f aca="false">Overview!$C$7&amp;E24</f>
        <v>https://mileagemaster.ca/products/high-mileage/</v>
      </c>
      <c r="G24" s="16" t="s">
        <v>179</v>
      </c>
      <c r="H24" s="16" t="s">
        <v>175</v>
      </c>
      <c r="I24" s="16" t="s">
        <v>66</v>
      </c>
      <c r="J24" s="16" t="s">
        <v>169</v>
      </c>
      <c r="K24" s="16"/>
    </row>
    <row r="25" customFormat="false" ht="15" hidden="false" customHeight="false" outlineLevel="1" collapsed="false">
      <c r="A25" s="16" t="s">
        <v>180</v>
      </c>
      <c r="B25" s="17" t="n">
        <v>2</v>
      </c>
      <c r="C25" s="18" t="s">
        <v>181</v>
      </c>
      <c r="D25" s="16" t="s">
        <v>62</v>
      </c>
      <c r="E25" s="16" t="s">
        <v>182</v>
      </c>
      <c r="F25" s="19" t="str">
        <f aca="false">Overview!$C$7&amp;E25</f>
        <v>https://mileagemaster.ca/products/synthetic-blend/</v>
      </c>
      <c r="G25" s="16" t="s">
        <v>183</v>
      </c>
      <c r="H25" s="16" t="s">
        <v>175</v>
      </c>
      <c r="I25" s="16" t="s">
        <v>98</v>
      </c>
      <c r="J25" s="16" t="s">
        <v>169</v>
      </c>
      <c r="K25" s="16"/>
    </row>
    <row r="26" customFormat="false" ht="23.85" hidden="false" customHeight="false" outlineLevel="0" collapsed="false">
      <c r="A26" s="12" t="s">
        <v>184</v>
      </c>
      <c r="B26" s="13" t="n">
        <v>1</v>
      </c>
      <c r="C26" s="14" t="s">
        <v>185</v>
      </c>
      <c r="D26" s="12" t="s">
        <v>62</v>
      </c>
      <c r="E26" s="12" t="s">
        <v>186</v>
      </c>
      <c r="F26" s="15" t="str">
        <f aca="false">Overview!$C$7&amp;E26</f>
        <v>https://mileagemaster.ca/documents/</v>
      </c>
      <c r="G26" s="12" t="s">
        <v>187</v>
      </c>
      <c r="H26" s="12" t="s">
        <v>188</v>
      </c>
      <c r="I26" s="12" t="s">
        <v>98</v>
      </c>
      <c r="J26" s="12" t="s">
        <v>169</v>
      </c>
      <c r="K26" s="12" t="s">
        <v>189</v>
      </c>
    </row>
    <row r="27" customFormat="false" ht="23.85" hidden="false" customHeight="false" outlineLevel="0" collapsed="false">
      <c r="A27" s="12" t="s">
        <v>190</v>
      </c>
      <c r="B27" s="13" t="n">
        <v>1</v>
      </c>
      <c r="C27" s="14" t="s">
        <v>191</v>
      </c>
      <c r="D27" s="12" t="s">
        <v>62</v>
      </c>
      <c r="E27" s="12" t="s">
        <v>192</v>
      </c>
      <c r="F27" s="15" t="str">
        <f aca="false">Overview!$C$7&amp;E27</f>
        <v>https://mileagemaster.ca/warranty/</v>
      </c>
      <c r="G27" s="12" t="s">
        <v>193</v>
      </c>
      <c r="H27" s="12" t="s">
        <v>194</v>
      </c>
      <c r="I27" s="12" t="s">
        <v>66</v>
      </c>
      <c r="J27" s="12" t="s">
        <v>169</v>
      </c>
      <c r="K27" s="12" t="s">
        <v>195</v>
      </c>
    </row>
    <row r="28" customFormat="false" ht="23.85" hidden="false" customHeight="false" outlineLevel="0" collapsed="false">
      <c r="A28" s="12" t="s">
        <v>196</v>
      </c>
      <c r="B28" s="13" t="n">
        <v>1</v>
      </c>
      <c r="C28" s="14" t="s">
        <v>197</v>
      </c>
      <c r="D28" s="12" t="s">
        <v>62</v>
      </c>
      <c r="E28" s="12" t="s">
        <v>198</v>
      </c>
      <c r="F28" s="15" t="str">
        <f aca="false">Overview!$C$7&amp;E28</f>
        <v>https://mileagemaster.ca/about/</v>
      </c>
      <c r="G28" s="12" t="s">
        <v>199</v>
      </c>
      <c r="H28" s="12" t="s">
        <v>200</v>
      </c>
      <c r="I28" s="12" t="s">
        <v>155</v>
      </c>
      <c r="J28" s="12" t="s">
        <v>169</v>
      </c>
      <c r="K28" s="12"/>
    </row>
    <row r="29" customFormat="false" ht="23.85" hidden="false" customHeight="false" outlineLevel="0" collapsed="false">
      <c r="A29" s="12" t="s">
        <v>201</v>
      </c>
      <c r="B29" s="13" t="n">
        <v>1</v>
      </c>
      <c r="C29" s="14" t="s">
        <v>202</v>
      </c>
      <c r="D29" s="12" t="s">
        <v>62</v>
      </c>
      <c r="E29" s="12" t="s">
        <v>203</v>
      </c>
      <c r="F29" s="15" t="str">
        <f aca="false">Overview!$C$7&amp;E29</f>
        <v>https://mileagemaster.ca/contact/</v>
      </c>
      <c r="G29" s="12" t="s">
        <v>204</v>
      </c>
      <c r="H29" s="12" t="s">
        <v>205</v>
      </c>
      <c r="I29" s="12" t="s">
        <v>155</v>
      </c>
      <c r="J29" s="12" t="s">
        <v>169</v>
      </c>
      <c r="K29" s="12" t="s">
        <v>206</v>
      </c>
    </row>
    <row r="30" customFormat="false" ht="15" hidden="false" customHeight="false" outlineLevel="0" collapsed="false">
      <c r="A30" s="12" t="s">
        <v>207</v>
      </c>
      <c r="B30" s="13" t="n">
        <v>1</v>
      </c>
      <c r="C30" s="14" t="s">
        <v>208</v>
      </c>
      <c r="D30" s="12" t="s">
        <v>62</v>
      </c>
      <c r="E30" s="12" t="s">
        <v>209</v>
      </c>
      <c r="F30" s="15" t="str">
        <f aca="false">Overview!$C$7&amp;E30</f>
        <v>https://mileagemaster.ca/privacy/</v>
      </c>
      <c r="G30" s="12" t="s">
        <v>210</v>
      </c>
      <c r="H30" s="12"/>
      <c r="I30" s="12" t="s">
        <v>155</v>
      </c>
      <c r="J30" s="12" t="s">
        <v>169</v>
      </c>
      <c r="K30" s="12" t="s">
        <v>211</v>
      </c>
    </row>
    <row r="31" customFormat="false" ht="15" hidden="false" customHeight="false" outlineLevel="0" collapsed="false">
      <c r="A31" s="12" t="s">
        <v>212</v>
      </c>
      <c r="B31" s="13" t="n">
        <v>1</v>
      </c>
      <c r="C31" s="14" t="s">
        <v>213</v>
      </c>
      <c r="D31" s="12" t="s">
        <v>62</v>
      </c>
      <c r="E31" s="12" t="s">
        <v>214</v>
      </c>
      <c r="F31" s="15" t="str">
        <f aca="false">Overview!$C$7&amp;E31</f>
        <v>https://mileagemaster.ca/terms/</v>
      </c>
      <c r="G31" s="12" t="s">
        <v>215</v>
      </c>
      <c r="H31" s="12"/>
      <c r="I31" s="12" t="s">
        <v>155</v>
      </c>
      <c r="J31" s="12" t="s">
        <v>169</v>
      </c>
      <c r="K31" s="12"/>
    </row>
  </sheetData>
  <autoFilter ref="A1:K31"/>
  <conditionalFormatting sqref="J2:J31">
    <cfRule type="expression" priority="2" aboveAverage="0" equalAverage="0" bottom="0" percent="0" rank="0" text="" dxfId="9">
      <formula>$J2="Live"</formula>
    </cfRule>
    <cfRule type="expression" priority="3" aboveAverage="0" equalAverage="0" bottom="0" percent="0" rank="0" text="" dxfId="10">
      <formula>$J2="Proposed"</formula>
    </cfRule>
  </conditionalFormatting>
  <dataValidations count="1">
    <dataValidation allowBlank="true" errorStyle="stop" operator="between" showDropDown="false" showErrorMessage="false" showInputMessage="false" sqref="J2:J31" type="list">
      <formula1>"Live,Proposed,Approved,Removed"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21" t="s">
        <v>216</v>
      </c>
      <c r="B1" s="21" t="s">
        <v>217</v>
      </c>
      <c r="C1" s="21" t="s">
        <v>218</v>
      </c>
      <c r="D1" s="21" t="s">
        <v>219</v>
      </c>
      <c r="E1" s="21" t="s">
        <v>220</v>
      </c>
    </row>
    <row r="2" customFormat="false" ht="15" hidden="false" customHeight="false" outlineLevel="0" collapsed="false">
      <c r="A2" s="16" t="s">
        <v>221</v>
      </c>
      <c r="B2" s="17" t="n">
        <v>1</v>
      </c>
      <c r="C2" s="16" t="s">
        <v>222</v>
      </c>
      <c r="D2" s="16" t="s">
        <v>223</v>
      </c>
      <c r="E2" s="16" t="s">
        <v>224</v>
      </c>
    </row>
    <row r="3" customFormat="false" ht="15" hidden="false" customHeight="false" outlineLevel="0" collapsed="false">
      <c r="A3" s="16" t="s">
        <v>221</v>
      </c>
      <c r="B3" s="17" t="n">
        <v>2</v>
      </c>
      <c r="C3" s="16" t="s">
        <v>225</v>
      </c>
      <c r="D3" s="16" t="s">
        <v>226</v>
      </c>
      <c r="E3" s="16" t="s">
        <v>227</v>
      </c>
    </row>
    <row r="4" customFormat="false" ht="15" hidden="false" customHeight="false" outlineLevel="0" collapsed="false">
      <c r="A4" s="16" t="s">
        <v>221</v>
      </c>
      <c r="B4" s="17" t="n">
        <v>3</v>
      </c>
      <c r="C4" s="16" t="s">
        <v>228</v>
      </c>
      <c r="D4" s="16" t="s">
        <v>229</v>
      </c>
      <c r="E4" s="16" t="s">
        <v>230</v>
      </c>
    </row>
    <row r="5" customFormat="false" ht="23.85" hidden="false" customHeight="false" outlineLevel="0" collapsed="false">
      <c r="A5" s="16" t="s">
        <v>221</v>
      </c>
      <c r="B5" s="17" t="n">
        <v>4</v>
      </c>
      <c r="C5" s="16" t="s">
        <v>231</v>
      </c>
      <c r="D5" s="16" t="s">
        <v>223</v>
      </c>
      <c r="E5" s="16" t="s">
        <v>224</v>
      </c>
    </row>
    <row r="6" customFormat="false" ht="15" hidden="false" customHeight="false" outlineLevel="0" collapsed="false">
      <c r="A6" s="16" t="s">
        <v>232</v>
      </c>
      <c r="B6" s="17" t="n">
        <v>0</v>
      </c>
      <c r="C6" s="16" t="s">
        <v>233</v>
      </c>
      <c r="D6" s="16" t="s">
        <v>63</v>
      </c>
      <c r="E6" s="16" t="s">
        <v>61</v>
      </c>
    </row>
    <row r="7" customFormat="false" ht="15" hidden="false" customHeight="false" outlineLevel="0" collapsed="false">
      <c r="A7" s="16" t="s">
        <v>234</v>
      </c>
      <c r="B7" s="17" t="n">
        <v>1</v>
      </c>
      <c r="C7" s="16" t="s">
        <v>235</v>
      </c>
      <c r="D7" s="16" t="s">
        <v>117</v>
      </c>
      <c r="E7" s="16" t="s">
        <v>236</v>
      </c>
    </row>
    <row r="8" customFormat="false" ht="15" hidden="false" customHeight="false" outlineLevel="0" collapsed="false">
      <c r="A8" s="16" t="s">
        <v>234</v>
      </c>
      <c r="B8" s="17" t="n">
        <v>2</v>
      </c>
      <c r="C8" s="16" t="s">
        <v>237</v>
      </c>
      <c r="D8" s="16" t="s">
        <v>82</v>
      </c>
      <c r="E8" s="16" t="s">
        <v>238</v>
      </c>
    </row>
    <row r="9" customFormat="false" ht="15" hidden="false" customHeight="false" outlineLevel="0" collapsed="false">
      <c r="A9" s="16" t="s">
        <v>234</v>
      </c>
      <c r="B9" s="17" t="n">
        <v>3</v>
      </c>
      <c r="C9" s="16" t="s">
        <v>239</v>
      </c>
      <c r="D9" s="16" t="s">
        <v>91</v>
      </c>
      <c r="E9" s="16" t="s">
        <v>240</v>
      </c>
    </row>
    <row r="10" customFormat="false" ht="15" hidden="false" customHeight="false" outlineLevel="0" collapsed="false">
      <c r="A10" s="16" t="s">
        <v>234</v>
      </c>
      <c r="B10" s="17" t="n">
        <v>4</v>
      </c>
      <c r="C10" s="16" t="s">
        <v>241</v>
      </c>
      <c r="D10" s="16" t="s">
        <v>95</v>
      </c>
      <c r="E10" s="16" t="s">
        <v>242</v>
      </c>
    </row>
    <row r="11" customFormat="false" ht="15" hidden="false" customHeight="false" outlineLevel="0" collapsed="false">
      <c r="A11" s="16" t="s">
        <v>234</v>
      </c>
      <c r="B11" s="17" t="n">
        <v>5</v>
      </c>
      <c r="C11" s="16" t="s">
        <v>243</v>
      </c>
      <c r="D11" s="16" t="s">
        <v>106</v>
      </c>
      <c r="E11" s="16" t="s">
        <v>244</v>
      </c>
    </row>
    <row r="12" customFormat="false" ht="15" hidden="false" customHeight="false" outlineLevel="0" collapsed="false">
      <c r="A12" s="16" t="s">
        <v>245</v>
      </c>
      <c r="B12" s="17" t="n">
        <v>1</v>
      </c>
      <c r="C12" s="16" t="s">
        <v>246</v>
      </c>
      <c r="D12" s="16" t="s">
        <v>82</v>
      </c>
      <c r="E12" s="16" t="s">
        <v>238</v>
      </c>
    </row>
    <row r="13" customFormat="false" ht="15" hidden="false" customHeight="false" outlineLevel="0" collapsed="false">
      <c r="A13" s="16" t="s">
        <v>245</v>
      </c>
      <c r="B13" s="17" t="n">
        <v>2</v>
      </c>
      <c r="C13" s="16" t="s">
        <v>247</v>
      </c>
      <c r="D13" s="16" t="s">
        <v>82</v>
      </c>
      <c r="E13" s="16" t="s">
        <v>238</v>
      </c>
    </row>
    <row r="14" customFormat="false" ht="15" hidden="false" customHeight="false" outlineLevel="0" collapsed="false">
      <c r="A14" s="16" t="s">
        <v>245</v>
      </c>
      <c r="B14" s="17" t="n">
        <v>3</v>
      </c>
      <c r="C14" s="16" t="s">
        <v>248</v>
      </c>
      <c r="D14" s="16" t="s">
        <v>95</v>
      </c>
      <c r="E14" s="16" t="s">
        <v>249</v>
      </c>
    </row>
    <row r="15" customFormat="false" ht="15" hidden="false" customHeight="false" outlineLevel="0" collapsed="false">
      <c r="A15" s="16" t="s">
        <v>245</v>
      </c>
      <c r="B15" s="17" t="n">
        <v>4</v>
      </c>
      <c r="C15" s="16" t="s">
        <v>250</v>
      </c>
      <c r="D15" s="16" t="s">
        <v>95</v>
      </c>
      <c r="E15" s="16" t="s">
        <v>249</v>
      </c>
    </row>
    <row r="16" customFormat="false" ht="15" hidden="false" customHeight="false" outlineLevel="0" collapsed="false">
      <c r="A16" s="16" t="s">
        <v>251</v>
      </c>
      <c r="B16" s="17" t="n">
        <v>1</v>
      </c>
      <c r="C16" s="16" t="s">
        <v>252</v>
      </c>
      <c r="D16" s="16" t="s">
        <v>253</v>
      </c>
      <c r="E16" s="16" t="s">
        <v>254</v>
      </c>
    </row>
    <row r="17" customFormat="false" ht="15" hidden="false" customHeight="false" outlineLevel="0" collapsed="false">
      <c r="A17" s="16" t="s">
        <v>251</v>
      </c>
      <c r="B17" s="17" t="n">
        <v>2</v>
      </c>
      <c r="C17" s="16" t="s">
        <v>200</v>
      </c>
      <c r="D17" s="16" t="s">
        <v>106</v>
      </c>
      <c r="E17" s="16" t="s">
        <v>244</v>
      </c>
    </row>
    <row r="18" customFormat="false" ht="15" hidden="false" customHeight="false" outlineLevel="0" collapsed="false">
      <c r="A18" s="16" t="s">
        <v>251</v>
      </c>
      <c r="B18" s="17" t="n">
        <v>3</v>
      </c>
      <c r="C18" s="16" t="s">
        <v>255</v>
      </c>
      <c r="D18" s="16" t="s">
        <v>117</v>
      </c>
      <c r="E18" s="16" t="s">
        <v>236</v>
      </c>
    </row>
    <row r="19" customFormat="false" ht="15" hidden="false" customHeight="false" outlineLevel="0" collapsed="false">
      <c r="A19" s="16" t="s">
        <v>251</v>
      </c>
      <c r="B19" s="17" t="n">
        <v>4</v>
      </c>
      <c r="C19" s="16" t="s">
        <v>191</v>
      </c>
      <c r="D19" s="16" t="s">
        <v>95</v>
      </c>
      <c r="E19" s="16" t="s">
        <v>256</v>
      </c>
    </row>
    <row r="20" customFormat="false" ht="15" hidden="false" customHeight="false" outlineLevel="0" collapsed="false">
      <c r="A20" s="16" t="s">
        <v>257</v>
      </c>
      <c r="B20" s="17" t="n">
        <v>1</v>
      </c>
      <c r="C20" s="16" t="s">
        <v>258</v>
      </c>
      <c r="D20" s="16" t="s">
        <v>259</v>
      </c>
      <c r="E20" s="16" t="s">
        <v>202</v>
      </c>
    </row>
    <row r="21" customFormat="false" ht="15" hidden="false" customHeight="false" outlineLevel="0" collapsed="false">
      <c r="A21" s="16" t="s">
        <v>260</v>
      </c>
      <c r="B21" s="17" t="n">
        <v>1</v>
      </c>
      <c r="C21" s="16" t="s">
        <v>152</v>
      </c>
      <c r="D21" s="16" t="s">
        <v>153</v>
      </c>
      <c r="E21" s="16" t="s">
        <v>261</v>
      </c>
    </row>
    <row r="22" customFormat="false" ht="23.85" hidden="false" customHeight="false" outlineLevel="0" collapsed="false">
      <c r="A22" s="16" t="s">
        <v>262</v>
      </c>
      <c r="B22" s="17" t="n">
        <v>1</v>
      </c>
      <c r="C22" s="16" t="s">
        <v>263</v>
      </c>
      <c r="D22" s="16" t="s">
        <v>223</v>
      </c>
      <c r="E22" s="16" t="s">
        <v>224</v>
      </c>
    </row>
    <row r="23" customFormat="false" ht="35.05" hidden="false" customHeight="false" outlineLevel="0" collapsed="false">
      <c r="A23" s="22" t="s">
        <v>264</v>
      </c>
      <c r="B23" s="17"/>
      <c r="C23" s="22" t="s">
        <v>265</v>
      </c>
      <c r="D23" s="16"/>
      <c r="E2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2026-10-15T04:46:08Z</dcterms:created>
  <dc:creator>openpyxl</dc:creator>
  <dc:description/>
  <dc:language>en-US</dc:language>
  <cp:lastModifiedBy/>
  <dcterms:modified xsi:type="dcterms:W3CDTF">2026-10-15T04:46:08Z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